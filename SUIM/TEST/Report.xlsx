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emanu\Desktop\Mestrado\2A\1S\VCOM\Assignment_2\SUIM\TEST\"/>
    </mc:Choice>
  </mc:AlternateContent>
  <xr:revisionPtr revIDLastSave="0" documentId="13_ncr:1_{24F868D1-DDD1-48DE-B3C0-73D03E898EB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H25" i="1"/>
  <c r="G25" i="1"/>
  <c r="F25" i="1"/>
  <c r="E25" i="1"/>
  <c r="D25" i="1"/>
  <c r="I24" i="1"/>
  <c r="H24" i="1"/>
  <c r="G24" i="1"/>
  <c r="F24" i="1"/>
  <c r="E24" i="1"/>
  <c r="D24" i="1"/>
  <c r="I23" i="1"/>
  <c r="H23" i="1"/>
  <c r="G23" i="1"/>
  <c r="F23" i="1"/>
  <c r="E23" i="1"/>
  <c r="D23" i="1"/>
  <c r="I22" i="1"/>
  <c r="H22" i="1"/>
  <c r="G22" i="1"/>
  <c r="F22" i="1"/>
  <c r="E22" i="1"/>
  <c r="D22" i="1"/>
  <c r="I21" i="1"/>
  <c r="H21" i="1"/>
  <c r="G21" i="1"/>
  <c r="F21" i="1"/>
  <c r="E21" i="1"/>
  <c r="D21" i="1"/>
  <c r="I20" i="1"/>
  <c r="H20" i="1"/>
  <c r="G20" i="1"/>
  <c r="F20" i="1"/>
  <c r="E20" i="1"/>
  <c r="D20" i="1"/>
  <c r="I19" i="1"/>
  <c r="H19" i="1"/>
  <c r="G19" i="1"/>
  <c r="F19" i="1"/>
  <c r="E19" i="1"/>
  <c r="D19" i="1"/>
  <c r="I18" i="1"/>
  <c r="H18" i="1"/>
  <c r="G18" i="1"/>
  <c r="F18" i="1"/>
  <c r="E18" i="1"/>
  <c r="D18" i="1"/>
  <c r="M22" i="1"/>
  <c r="N22" i="1"/>
  <c r="O22" i="1"/>
  <c r="P22" i="1"/>
  <c r="Q22" i="1"/>
  <c r="R22" i="1"/>
  <c r="M20" i="1"/>
  <c r="N20" i="1"/>
  <c r="O20" i="1"/>
  <c r="P20" i="1"/>
  <c r="Q20" i="1"/>
  <c r="R20" i="1"/>
  <c r="M21" i="1"/>
  <c r="N21" i="1"/>
  <c r="O21" i="1"/>
  <c r="P21" i="1"/>
  <c r="Q21" i="1"/>
  <c r="R21" i="1"/>
  <c r="M25" i="1"/>
  <c r="N25" i="1"/>
  <c r="O25" i="1"/>
  <c r="P25" i="1"/>
  <c r="Q25" i="1"/>
  <c r="R25" i="1"/>
  <c r="M24" i="1"/>
  <c r="N24" i="1"/>
  <c r="O24" i="1"/>
  <c r="P24" i="1"/>
  <c r="Q24" i="1"/>
  <c r="R24" i="1"/>
  <c r="M19" i="1"/>
  <c r="N19" i="1"/>
  <c r="O19" i="1"/>
  <c r="P19" i="1"/>
  <c r="Q19" i="1"/>
  <c r="R19" i="1"/>
  <c r="M23" i="1"/>
  <c r="N23" i="1"/>
  <c r="O23" i="1"/>
  <c r="P23" i="1"/>
  <c r="Q23" i="1"/>
  <c r="R23" i="1"/>
  <c r="N18" i="1"/>
  <c r="O18" i="1"/>
  <c r="P18" i="1"/>
  <c r="Q18" i="1"/>
  <c r="R18" i="1"/>
  <c r="M18" i="1"/>
</calcChain>
</file>

<file path=xl/sharedStrings.xml><?xml version="1.0" encoding="utf-8"?>
<sst xmlns="http://schemas.openxmlformats.org/spreadsheetml/2006/main" count="219" uniqueCount="176">
  <si>
    <t>HD</t>
  </si>
  <si>
    <t>WR</t>
  </si>
  <si>
    <t>RO</t>
  </si>
  <si>
    <t>RI</t>
  </si>
  <si>
    <t>FV</t>
  </si>
  <si>
    <t>Combined</t>
  </si>
  <si>
    <t>Unnamed: 7</t>
  </si>
  <si>
    <t>SUIM-Net_VGG</t>
  </si>
  <si>
    <t>84.78 ± 16.83</t>
  </si>
  <si>
    <t>89.29 ± 14.67</t>
  </si>
  <si>
    <t>75.16 ± 15.37</t>
  </si>
  <si>
    <t>89.45 ± 12.90</t>
  </si>
  <si>
    <t>83.54 ± 16.36</t>
  </si>
  <si>
    <t>84.44 ± 5.21</t>
  </si>
  <si>
    <t>Paper</t>
  </si>
  <si>
    <t>SUIM-Net_VGG_Noaug1_2</t>
  </si>
  <si>
    <t>61.37 ± 24.78</t>
  </si>
  <si>
    <t>57.87 ± 24.79</t>
  </si>
  <si>
    <t>54.29 ± 26.92</t>
  </si>
  <si>
    <t>61.87 ± 27.06</t>
  </si>
  <si>
    <t>62.93 ± 23.27</t>
  </si>
  <si>
    <t>59.67 ± 3.18</t>
  </si>
  <si>
    <t>SUIM-Net_VGG_Noaug</t>
  </si>
  <si>
    <t>66.10 ± 23.48</t>
  </si>
  <si>
    <t>52.91 ± 27.56</t>
  </si>
  <si>
    <t>52.48 ± 34.17</t>
  </si>
  <si>
    <t>68.97 ± 24.48</t>
  </si>
  <si>
    <t>61.86 ± 24.22</t>
  </si>
  <si>
    <t>60.46 ± 6.74</t>
  </si>
  <si>
    <t>SUIM-Net_VGG_Aug</t>
  </si>
  <si>
    <t>60.31 ± 27.20</t>
  </si>
  <si>
    <t>40.91 ± 24.06</t>
  </si>
  <si>
    <t>48.37 ± 27.02</t>
  </si>
  <si>
    <t>47.83 ± 31.17</t>
  </si>
  <si>
    <t>53.62 ± 28.63</t>
  </si>
  <si>
    <t>50.21 ± 6.47</t>
  </si>
  <si>
    <t>SUIM-Net_SWIN_NOAUG</t>
  </si>
  <si>
    <t>68.93 ± 28.89</t>
  </si>
  <si>
    <t>65.43 ± 35.62</t>
  </si>
  <si>
    <t>56.28 ± 31.02</t>
  </si>
  <si>
    <t>72.05 ± 29.39</t>
  </si>
  <si>
    <t>68.84 ± 25.17</t>
  </si>
  <si>
    <t>66.31 ± 5.43</t>
  </si>
  <si>
    <t>SUIM-Net_SWIN_2</t>
  </si>
  <si>
    <t>68.58 ± 28.72</t>
  </si>
  <si>
    <t>68.87 ± 31.40</t>
  </si>
  <si>
    <t>51.77 ± 36.94</t>
  </si>
  <si>
    <t>71.65 ± 28.15</t>
  </si>
  <si>
    <t>64.26 ± 27.52</t>
  </si>
  <si>
    <t>65.03 ± 7.04</t>
  </si>
  <si>
    <t>SUIM-Net_SWIN_AUG</t>
  </si>
  <si>
    <t>63.80 ± 29.11</t>
  </si>
  <si>
    <t>54.40 ± 36.59</t>
  </si>
  <si>
    <t>32.18 ± 31.14</t>
  </si>
  <si>
    <t>65.02 ± 32.67</t>
  </si>
  <si>
    <t>60.75 ± 29.85</t>
  </si>
  <si>
    <t>55.23 ± 12.09</t>
  </si>
  <si>
    <t>SUIM-Net_SWIN_AUG_2</t>
  </si>
  <si>
    <t>56.93 ± 32.39</t>
  </si>
  <si>
    <t>63.46 ± 32.14</t>
  </si>
  <si>
    <t>50.03 ± 31.70</t>
  </si>
  <si>
    <t>65.43 ± 33.23</t>
  </si>
  <si>
    <t>59.97 ± 30.23</t>
  </si>
  <si>
    <t>59.16 ± 5.42</t>
  </si>
  <si>
    <t>epoch 46</t>
  </si>
  <si>
    <t>SUIM-Net_SWIN_3</t>
  </si>
  <si>
    <t>70.63 ± 26.40</t>
  </si>
  <si>
    <t>66.47 ± 31.94</t>
  </si>
  <si>
    <t>57.68 ± 35.06</t>
  </si>
  <si>
    <t>70.29 ± 30.02</t>
  </si>
  <si>
    <t>67.48 ± 26.83</t>
  </si>
  <si>
    <t>66.51 ± 4.69</t>
  </si>
  <si>
    <t>epoch 72</t>
  </si>
  <si>
    <t>SUIM-Net_RSB_KERAS</t>
  </si>
  <si>
    <t>81.06 ± 17.66</t>
  </si>
  <si>
    <t>77.30 ± 17.55</t>
  </si>
  <si>
    <t>63.79 ± 22.48</t>
  </si>
  <si>
    <t>84.39 ± 18.06</t>
  </si>
  <si>
    <t>76.43 ± 20.21</t>
  </si>
  <si>
    <t>76.59 ± 7.00</t>
  </si>
  <si>
    <t>SUIM-Net_RSB_Aug</t>
  </si>
  <si>
    <t>26.59 ± 26.85</t>
  </si>
  <si>
    <t>12.92 ± 21.83</t>
  </si>
  <si>
    <t>4.48 ± 7.56</t>
  </si>
  <si>
    <t>54.22 ± 29.62</t>
  </si>
  <si>
    <t>27.52 ± 25.96</t>
  </si>
  <si>
    <t>25.15 ± 16.91</t>
  </si>
  <si>
    <t>SUIM-Net_RSB_noAug</t>
  </si>
  <si>
    <t>42.73 ± 26.44</t>
  </si>
  <si>
    <t>24.10 ± 23.58</t>
  </si>
  <si>
    <t>24.83 ± 23.68</t>
  </si>
  <si>
    <t>53.34 ± 29.33</t>
  </si>
  <si>
    <t>39.69 ± 26.08</t>
  </si>
  <si>
    <t>36.94 ± 11.15</t>
  </si>
  <si>
    <t>SUIM-Net_RSB</t>
  </si>
  <si>
    <t>SUIM-Net_VGG_NOAUG</t>
  </si>
  <si>
    <t>SUIM-Net_VGG_AUG</t>
  </si>
  <si>
    <t>PAPER</t>
  </si>
  <si>
    <t>92.86 ± 14.35</t>
  </si>
  <si>
    <t>85.98 ± 10.21</t>
  </si>
  <si>
    <t>80.46 ± 17.32</t>
  </si>
  <si>
    <t>83.17 ± 14.16</t>
  </si>
  <si>
    <t>93.23 ± 8.84</t>
  </si>
  <si>
    <t>87.14 ± 5.13</t>
  </si>
  <si>
    <t>69.25 ± 25.82</t>
  </si>
  <si>
    <t>42.71 ± 17.14</t>
  </si>
  <si>
    <t>55.43 ± 25.09</t>
  </si>
  <si>
    <t>42.64 ± 24.13</t>
  </si>
  <si>
    <t>70.10 ± 22.24</t>
  </si>
  <si>
    <t>56.03 ± 12.08</t>
  </si>
  <si>
    <t>72.33 ± 25.37</t>
  </si>
  <si>
    <t>42.83 ± 20.63</t>
  </si>
  <si>
    <t>54.31 ± 37.81</t>
  </si>
  <si>
    <t>49.20 ± 24.08</t>
  </si>
  <si>
    <t>69.07 ± 22.76</t>
  </si>
  <si>
    <t>57.55 ± 11.38</t>
  </si>
  <si>
    <t>64.21 ± 28.15</t>
  </si>
  <si>
    <t>26.64 ± 13.18</t>
  </si>
  <si>
    <t>49.10 ± 26.08</t>
  </si>
  <si>
    <t>31.63 ± 20.78</t>
  </si>
  <si>
    <t>56.77 ± 26.33</t>
  </si>
  <si>
    <t>45.67 ± 14.41</t>
  </si>
  <si>
    <t>70.96 ± 29.04</t>
  </si>
  <si>
    <t>52.61 ± 29.23</t>
  </si>
  <si>
    <t>52.74 ± 30.21</t>
  </si>
  <si>
    <t>51.35 ± 27.94</t>
  </si>
  <si>
    <t>73.04 ± 22.77</t>
  </si>
  <si>
    <t>60.14 ± 9.72</t>
  </si>
  <si>
    <t>71.30 ± 28.72</t>
  </si>
  <si>
    <t>55.98 ± 24.37</t>
  </si>
  <si>
    <t>49.18 ± 36.74</t>
  </si>
  <si>
    <t>49.69 ± 26.09</t>
  </si>
  <si>
    <t>68.25 ± 26.12</t>
  </si>
  <si>
    <t>58.88 ± 9.26</t>
  </si>
  <si>
    <t>63.01 ± 27.05</t>
  </si>
  <si>
    <t>36.03 ± 27.26</t>
  </si>
  <si>
    <t>26.78 ± 24.68</t>
  </si>
  <si>
    <t>40.14 ± 26.25</t>
  </si>
  <si>
    <t>58.53 ± 30.03</t>
  </si>
  <si>
    <t>44.90 ± 13.74</t>
  </si>
  <si>
    <t>53.10 ± 29.13</t>
  </si>
  <si>
    <t>40.98 ± 23.14</t>
  </si>
  <si>
    <t>42.64 ± 29.64</t>
  </si>
  <si>
    <t>40.24 ± 26.38</t>
  </si>
  <si>
    <t>57.04 ± 29.35</t>
  </si>
  <si>
    <t>46.80 ± 6.91</t>
  </si>
  <si>
    <t>Epoch 46</t>
  </si>
  <si>
    <t>73.51 ± 26.59</t>
  </si>
  <si>
    <t>55.54 ± 24.45</t>
  </si>
  <si>
    <t>56.75 ± 34.75</t>
  </si>
  <si>
    <t>47.67 ± 28.97</t>
  </si>
  <si>
    <t>70.62 ± 25.76</t>
  </si>
  <si>
    <t>60.82 ± 9.74</t>
  </si>
  <si>
    <t>Epoch 72</t>
  </si>
  <si>
    <t>88.72 ± 13.57</t>
  </si>
  <si>
    <t>57.02 ± 22.93</t>
  </si>
  <si>
    <t>71.93 ± 24.60</t>
  </si>
  <si>
    <t>70.06 ± 18.44</t>
  </si>
  <si>
    <t>83.49 ± 15.76</t>
  </si>
  <si>
    <t>74.24 ± 11.08</t>
  </si>
  <si>
    <t>26.22 ± 23.90</t>
  </si>
  <si>
    <t>7.75 ± 8.85</t>
  </si>
  <si>
    <t>6.87 ± 13.58</t>
  </si>
  <si>
    <t>27.26 ± 16.16</t>
  </si>
  <si>
    <t>26.33 ± 21.77</t>
  </si>
  <si>
    <t>18.89 ± 9.46</t>
  </si>
  <si>
    <t>47.48 ± 25.04</t>
  </si>
  <si>
    <t>22.20 ± 15.47</t>
  </si>
  <si>
    <t>31.23 ± 22.57</t>
  </si>
  <si>
    <t>30.20 ± 21.05</t>
  </si>
  <si>
    <t>47.23 ± 25.03</t>
  </si>
  <si>
    <t>35.67 ± 10.04</t>
  </si>
  <si>
    <t>SUIM-Net_RSB_NOAUG</t>
  </si>
  <si>
    <t>SUIM-Net_RSB_AUG</t>
  </si>
  <si>
    <t>F1 Score</t>
  </si>
  <si>
    <t>mIuO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</si>
</sst>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2" fontId="0" fillId="0" borderId="0" xfId="0" applyNumberFormat="1"/>
    <xf numFmtId="2" fontId="0" fillId="0" borderId="0" xfId="0" applyNumberFormat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31"/>
  <sheetViews>
    <sheetView showGridLines="0" tabSelected="1" topLeftCell="A7" zoomScale="130" zoomScaleNormal="130" workbookViewId="0">
      <selection activeCell="G30" sqref="G30"/>
    </sheetView>
  </sheetViews>
  <sheetFormatPr defaultRowHeight="14.4" x14ac:dyDescent="0.3"/>
  <cols>
    <col min="3" max="3" width="24.44140625" bestFit="1" customWidth="1"/>
    <col min="4" max="4" width="9.21875" customWidth="1"/>
    <col min="5" max="5" width="9.33203125" customWidth="1"/>
    <col min="6" max="6" width="9.77734375" customWidth="1"/>
    <col min="7" max="7" width="8.77734375" customWidth="1"/>
    <col min="8" max="8" width="9.109375" customWidth="1"/>
    <col min="9" max="9" width="12" bestFit="1" customWidth="1"/>
    <col min="12" max="12" width="24.44140625" bestFit="1" customWidth="1"/>
    <col min="18" max="18" width="12" bestFit="1" customWidth="1"/>
  </cols>
  <sheetData>
    <row r="2" spans="3:19" x14ac:dyDescent="0.3">
      <c r="D2" s="1" t="s">
        <v>0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M2" s="1" t="s">
        <v>0</v>
      </c>
      <c r="N2" s="1" t="s">
        <v>1</v>
      </c>
      <c r="O2" s="1" t="s">
        <v>2</v>
      </c>
      <c r="P2" s="1" t="s">
        <v>3</v>
      </c>
      <c r="Q2" s="1" t="s">
        <v>4</v>
      </c>
      <c r="R2" s="1" t="s">
        <v>5</v>
      </c>
      <c r="S2" s="1" t="s">
        <v>6</v>
      </c>
    </row>
    <row r="3" spans="3:19" x14ac:dyDescent="0.3">
      <c r="C3" s="1" t="s">
        <v>7</v>
      </c>
      <c r="D3" t="s">
        <v>98</v>
      </c>
      <c r="E3" t="s">
        <v>99</v>
      </c>
      <c r="F3" t="s">
        <v>100</v>
      </c>
      <c r="G3" t="s">
        <v>101</v>
      </c>
      <c r="H3" t="s">
        <v>102</v>
      </c>
      <c r="I3" t="s">
        <v>103</v>
      </c>
      <c r="L3" s="1" t="s">
        <v>7</v>
      </c>
      <c r="M3" t="s">
        <v>8</v>
      </c>
      <c r="N3" t="s">
        <v>9</v>
      </c>
      <c r="O3" t="s">
        <v>10</v>
      </c>
      <c r="P3" t="s">
        <v>11</v>
      </c>
      <c r="Q3" t="s">
        <v>12</v>
      </c>
      <c r="R3" t="s">
        <v>13</v>
      </c>
      <c r="S3" t="s">
        <v>14</v>
      </c>
    </row>
    <row r="4" spans="3:19" x14ac:dyDescent="0.3">
      <c r="C4" s="1" t="s">
        <v>15</v>
      </c>
      <c r="D4" t="s">
        <v>104</v>
      </c>
      <c r="E4" t="s">
        <v>105</v>
      </c>
      <c r="F4" t="s">
        <v>106</v>
      </c>
      <c r="G4" t="s">
        <v>107</v>
      </c>
      <c r="H4" t="s">
        <v>108</v>
      </c>
      <c r="I4" t="s">
        <v>109</v>
      </c>
      <c r="L4" s="1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</row>
    <row r="5" spans="3:19" x14ac:dyDescent="0.3">
      <c r="C5" s="1" t="s">
        <v>22</v>
      </c>
      <c r="D5" t="s">
        <v>110</v>
      </c>
      <c r="E5" t="s">
        <v>111</v>
      </c>
      <c r="F5" t="s">
        <v>112</v>
      </c>
      <c r="G5" t="s">
        <v>113</v>
      </c>
      <c r="H5" t="s">
        <v>114</v>
      </c>
      <c r="I5" t="s">
        <v>115</v>
      </c>
      <c r="L5" s="1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  <c r="R5" t="s">
        <v>28</v>
      </c>
    </row>
    <row r="6" spans="3:19" x14ac:dyDescent="0.3">
      <c r="C6" s="1" t="s">
        <v>29</v>
      </c>
      <c r="D6" t="s">
        <v>116</v>
      </c>
      <c r="E6" t="s">
        <v>117</v>
      </c>
      <c r="F6" t="s">
        <v>118</v>
      </c>
      <c r="G6" t="s">
        <v>119</v>
      </c>
      <c r="H6" t="s">
        <v>120</v>
      </c>
      <c r="I6" t="s">
        <v>121</v>
      </c>
      <c r="L6" s="1" t="s">
        <v>29</v>
      </c>
      <c r="M6" t="s">
        <v>30</v>
      </c>
      <c r="N6" t="s">
        <v>31</v>
      </c>
      <c r="O6" t="s">
        <v>32</v>
      </c>
      <c r="P6" t="s">
        <v>33</v>
      </c>
      <c r="Q6" t="s">
        <v>34</v>
      </c>
      <c r="R6" t="s">
        <v>35</v>
      </c>
    </row>
    <row r="7" spans="3:19" x14ac:dyDescent="0.3">
      <c r="C7" s="1" t="s">
        <v>36</v>
      </c>
      <c r="D7" t="s">
        <v>122</v>
      </c>
      <c r="E7" t="s">
        <v>123</v>
      </c>
      <c r="F7" t="s">
        <v>124</v>
      </c>
      <c r="G7" t="s">
        <v>125</v>
      </c>
      <c r="H7" t="s">
        <v>126</v>
      </c>
      <c r="I7" t="s">
        <v>127</v>
      </c>
      <c r="L7" s="1" t="s">
        <v>36</v>
      </c>
      <c r="M7" t="s">
        <v>37</v>
      </c>
      <c r="N7" t="s">
        <v>38</v>
      </c>
      <c r="O7" t="s">
        <v>39</v>
      </c>
      <c r="P7" t="s">
        <v>40</v>
      </c>
      <c r="Q7" t="s">
        <v>41</v>
      </c>
      <c r="R7" t="s">
        <v>42</v>
      </c>
    </row>
    <row r="8" spans="3:19" x14ac:dyDescent="0.3">
      <c r="C8" s="1" t="s">
        <v>43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L8" s="1" t="s">
        <v>43</v>
      </c>
      <c r="M8" t="s">
        <v>44</v>
      </c>
      <c r="N8" t="s">
        <v>45</v>
      </c>
      <c r="O8" t="s">
        <v>46</v>
      </c>
      <c r="P8" t="s">
        <v>47</v>
      </c>
      <c r="Q8" t="s">
        <v>48</v>
      </c>
      <c r="R8" t="s">
        <v>49</v>
      </c>
    </row>
    <row r="9" spans="3:19" x14ac:dyDescent="0.3">
      <c r="C9" s="1" t="s">
        <v>50</v>
      </c>
      <c r="D9" t="s">
        <v>134</v>
      </c>
      <c r="E9" t="s">
        <v>135</v>
      </c>
      <c r="F9" t="s">
        <v>136</v>
      </c>
      <c r="G9" t="s">
        <v>137</v>
      </c>
      <c r="H9" t="s">
        <v>138</v>
      </c>
      <c r="I9" t="s">
        <v>139</v>
      </c>
      <c r="L9" s="1" t="s">
        <v>50</v>
      </c>
      <c r="M9" t="s">
        <v>51</v>
      </c>
      <c r="N9" t="s">
        <v>52</v>
      </c>
      <c r="O9" t="s">
        <v>53</v>
      </c>
      <c r="P9" t="s">
        <v>54</v>
      </c>
      <c r="Q9" t="s">
        <v>55</v>
      </c>
      <c r="R9" t="s">
        <v>56</v>
      </c>
    </row>
    <row r="10" spans="3:19" x14ac:dyDescent="0.3">
      <c r="C10" s="1" t="s">
        <v>57</v>
      </c>
      <c r="D10" t="s">
        <v>140</v>
      </c>
      <c r="E10" t="s">
        <v>141</v>
      </c>
      <c r="F10" t="s">
        <v>142</v>
      </c>
      <c r="G10" t="s">
        <v>143</v>
      </c>
      <c r="H10" t="s">
        <v>144</v>
      </c>
      <c r="I10" t="s">
        <v>145</v>
      </c>
      <c r="J10" t="s">
        <v>146</v>
      </c>
      <c r="L10" s="1" t="s">
        <v>57</v>
      </c>
      <c r="M10" t="s">
        <v>58</v>
      </c>
      <c r="N10" t="s">
        <v>59</v>
      </c>
      <c r="O10" t="s">
        <v>60</v>
      </c>
      <c r="P10" t="s">
        <v>61</v>
      </c>
      <c r="Q10" t="s">
        <v>62</v>
      </c>
      <c r="R10" t="s">
        <v>63</v>
      </c>
      <c r="S10" t="s">
        <v>64</v>
      </c>
    </row>
    <row r="11" spans="3:19" x14ac:dyDescent="0.3">
      <c r="C11" s="1" t="s">
        <v>65</v>
      </c>
      <c r="D11" t="s">
        <v>147</v>
      </c>
      <c r="E11" t="s">
        <v>148</v>
      </c>
      <c r="F11" t="s">
        <v>149</v>
      </c>
      <c r="G11" t="s">
        <v>150</v>
      </c>
      <c r="H11" t="s">
        <v>151</v>
      </c>
      <c r="I11" t="s">
        <v>152</v>
      </c>
      <c r="J11" t="s">
        <v>153</v>
      </c>
      <c r="L11" s="1" t="s">
        <v>65</v>
      </c>
      <c r="M11" t="s">
        <v>66</v>
      </c>
      <c r="N11" t="s">
        <v>67</v>
      </c>
      <c r="O11" t="s">
        <v>68</v>
      </c>
      <c r="P11" t="s">
        <v>69</v>
      </c>
      <c r="Q11" t="s">
        <v>70</v>
      </c>
      <c r="R11" t="s">
        <v>71</v>
      </c>
      <c r="S11" t="s">
        <v>72</v>
      </c>
    </row>
    <row r="12" spans="3:19" x14ac:dyDescent="0.3">
      <c r="C12" s="1" t="s">
        <v>73</v>
      </c>
      <c r="D12" t="s">
        <v>154</v>
      </c>
      <c r="E12" t="s">
        <v>155</v>
      </c>
      <c r="F12" t="s">
        <v>156</v>
      </c>
      <c r="G12" t="s">
        <v>157</v>
      </c>
      <c r="H12" t="s">
        <v>158</v>
      </c>
      <c r="I12" t="s">
        <v>159</v>
      </c>
      <c r="L12" s="1" t="s">
        <v>73</v>
      </c>
      <c r="M12" t="s">
        <v>74</v>
      </c>
      <c r="N12" t="s">
        <v>75</v>
      </c>
      <c r="O12" t="s">
        <v>76</v>
      </c>
      <c r="P12" t="s">
        <v>77</v>
      </c>
      <c r="Q12" t="s">
        <v>78</v>
      </c>
      <c r="R12" t="s">
        <v>79</v>
      </c>
    </row>
    <row r="13" spans="3:19" x14ac:dyDescent="0.3">
      <c r="C13" s="1" t="s">
        <v>80</v>
      </c>
      <c r="D13" t="s">
        <v>160</v>
      </c>
      <c r="E13" t="s">
        <v>161</v>
      </c>
      <c r="F13" t="s">
        <v>162</v>
      </c>
      <c r="G13" t="s">
        <v>163</v>
      </c>
      <c r="H13" t="s">
        <v>164</v>
      </c>
      <c r="I13" t="s">
        <v>165</v>
      </c>
      <c r="L13" s="1" t="s">
        <v>80</v>
      </c>
      <c r="M13" t="s">
        <v>81</v>
      </c>
      <c r="N13" t="s">
        <v>82</v>
      </c>
      <c r="O13" t="s">
        <v>83</v>
      </c>
      <c r="P13" t="s">
        <v>84</v>
      </c>
      <c r="Q13" t="s">
        <v>85</v>
      </c>
      <c r="R13" t="s">
        <v>86</v>
      </c>
    </row>
    <row r="14" spans="3:19" x14ac:dyDescent="0.3">
      <c r="C14" s="1" t="s">
        <v>87</v>
      </c>
      <c r="D14" t="s">
        <v>166</v>
      </c>
      <c r="E14" t="s">
        <v>167</v>
      </c>
      <c r="F14" t="s">
        <v>168</v>
      </c>
      <c r="G14" t="s">
        <v>169</v>
      </c>
      <c r="H14" t="s">
        <v>170</v>
      </c>
      <c r="I14" t="s">
        <v>171</v>
      </c>
      <c r="L14" s="1" t="s">
        <v>87</v>
      </c>
      <c r="M14" t="s">
        <v>88</v>
      </c>
      <c r="N14" t="s">
        <v>89</v>
      </c>
      <c r="O14" t="s">
        <v>90</v>
      </c>
      <c r="P14" t="s">
        <v>91</v>
      </c>
      <c r="Q14" t="s">
        <v>92</v>
      </c>
      <c r="R14" t="s">
        <v>93</v>
      </c>
    </row>
    <row r="17" spans="2:19" x14ac:dyDescent="0.3">
      <c r="D17" s="1" t="s">
        <v>0</v>
      </c>
      <c r="E17" s="1" t="s">
        <v>1</v>
      </c>
      <c r="F17" s="1" t="s">
        <v>2</v>
      </c>
      <c r="G17" s="1" t="s">
        <v>3</v>
      </c>
      <c r="H17" s="1" t="s">
        <v>4</v>
      </c>
      <c r="I17" s="1" t="s">
        <v>5</v>
      </c>
      <c r="M17" s="1" t="s">
        <v>0</v>
      </c>
      <c r="N17" s="1" t="s">
        <v>1</v>
      </c>
      <c r="O17" s="1" t="s">
        <v>2</v>
      </c>
      <c r="P17" s="1" t="s">
        <v>3</v>
      </c>
      <c r="Q17" s="1" t="s">
        <v>4</v>
      </c>
      <c r="R17" s="1" t="s">
        <v>5</v>
      </c>
    </row>
    <row r="18" spans="2:19" ht="14.4" customHeight="1" x14ac:dyDescent="0.3">
      <c r="B18" s="4" t="s">
        <v>97</v>
      </c>
      <c r="C18" s="1" t="s">
        <v>7</v>
      </c>
      <c r="D18" s="7" t="str">
        <f>LEFT(D3, FIND("±", D3) - 1)</f>
        <v xml:space="preserve">92.86 </v>
      </c>
      <c r="E18" s="7" t="str">
        <f>LEFT(E3, FIND("±", E3) - 1)</f>
        <v xml:space="preserve">85.98 </v>
      </c>
      <c r="F18" s="7" t="str">
        <f>LEFT(F3, FIND("±", F3) - 1)</f>
        <v xml:space="preserve">80.46 </v>
      </c>
      <c r="G18" s="7" t="str">
        <f>LEFT(G3, FIND("±", G3) - 1)</f>
        <v xml:space="preserve">83.17 </v>
      </c>
      <c r="H18" s="7" t="str">
        <f>LEFT(H3, FIND("±", H3) - 1)</f>
        <v xml:space="preserve">93.23 </v>
      </c>
      <c r="I18" s="7" t="str">
        <f>LEFT(I3, FIND("±", I3) - 1)</f>
        <v xml:space="preserve">87.14 </v>
      </c>
      <c r="K18" s="5" t="s">
        <v>97</v>
      </c>
      <c r="L18" s="1" t="s">
        <v>7</v>
      </c>
      <c r="M18" s="7" t="str">
        <f>LEFT(M3, FIND("±", M3) - 1)</f>
        <v xml:space="preserve">84.78 </v>
      </c>
      <c r="N18" s="7" t="str">
        <f>LEFT(N3, FIND("±", N3) - 1)</f>
        <v xml:space="preserve">89.29 </v>
      </c>
      <c r="O18" s="7" t="str">
        <f>LEFT(O3, FIND("±", O3) - 1)</f>
        <v xml:space="preserve">75.16 </v>
      </c>
      <c r="P18" s="7" t="str">
        <f>LEFT(P3, FIND("±", P3) - 1)</f>
        <v xml:space="preserve">89.45 </v>
      </c>
      <c r="Q18" s="7" t="str">
        <f>LEFT(Q3, FIND("±", Q3) - 1)</f>
        <v xml:space="preserve">83.54 </v>
      </c>
      <c r="R18" s="7" t="str">
        <f>LEFT(R3, FIND("±", R3) - 1)</f>
        <v xml:space="preserve">84.44 </v>
      </c>
    </row>
    <row r="19" spans="2:19" ht="14.4" customHeight="1" x14ac:dyDescent="0.3">
      <c r="B19" s="4"/>
      <c r="C19" s="1" t="s">
        <v>94</v>
      </c>
      <c r="D19" s="7" t="str">
        <f>LEFT(D12, FIND("±", D12) - 1)</f>
        <v xml:space="preserve">88.72 </v>
      </c>
      <c r="E19" s="7" t="str">
        <f>LEFT(E12, FIND("±", E12) - 1)</f>
        <v xml:space="preserve">57.02 </v>
      </c>
      <c r="F19" s="7" t="str">
        <f>LEFT(F12, FIND("±", F12) - 1)</f>
        <v xml:space="preserve">71.93 </v>
      </c>
      <c r="G19" s="7" t="str">
        <f>LEFT(G12, FIND("±", G12) - 1)</f>
        <v xml:space="preserve">70.06 </v>
      </c>
      <c r="H19" s="7" t="str">
        <f>LEFT(H12, FIND("±", H12) - 1)</f>
        <v xml:space="preserve">83.49 </v>
      </c>
      <c r="I19" s="7" t="str">
        <f>LEFT(I12, FIND("±", I12) - 1)</f>
        <v xml:space="preserve">74.24 </v>
      </c>
      <c r="K19" s="6"/>
      <c r="L19" s="1" t="s">
        <v>94</v>
      </c>
      <c r="M19" s="7" t="str">
        <f>LEFT(M12, FIND("±", M12) - 1)</f>
        <v xml:space="preserve">81.06 </v>
      </c>
      <c r="N19" s="7" t="str">
        <f>LEFT(N12, FIND("±", N12) - 1)</f>
        <v xml:space="preserve">77.30 </v>
      </c>
      <c r="O19" s="7" t="str">
        <f>LEFT(O12, FIND("±", O12) - 1)</f>
        <v xml:space="preserve">63.79 </v>
      </c>
      <c r="P19" s="7" t="str">
        <f>LEFT(P12, FIND("±", P12) - 1)</f>
        <v xml:space="preserve">84.39 </v>
      </c>
      <c r="Q19" s="7" t="str">
        <f>LEFT(Q12, FIND("±", Q12) - 1)</f>
        <v xml:space="preserve">76.43 </v>
      </c>
      <c r="R19" s="7" t="str">
        <f>LEFT(R12, FIND("±", R12) - 1)</f>
        <v xml:space="preserve">76.59 </v>
      </c>
    </row>
    <row r="20" spans="2:19" x14ac:dyDescent="0.3">
      <c r="C20" s="1" t="s">
        <v>95</v>
      </c>
      <c r="D20" s="8" t="str">
        <f>LEFT(D5, FIND("±", D5) - 1)</f>
        <v xml:space="preserve">72.33 </v>
      </c>
      <c r="E20" s="8" t="str">
        <f>LEFT(E5, FIND("±", E5) - 1)</f>
        <v xml:space="preserve">42.83 </v>
      </c>
      <c r="F20" s="8" t="str">
        <f>LEFT(F5, FIND("±", F5) - 1)</f>
        <v xml:space="preserve">54.31 </v>
      </c>
      <c r="G20" s="8" t="str">
        <f>LEFT(G5, FIND("±", G5) - 1)</f>
        <v xml:space="preserve">49.20 </v>
      </c>
      <c r="H20" s="8" t="str">
        <f>LEFT(H5, FIND("±", H5) - 1)</f>
        <v xml:space="preserve">69.07 </v>
      </c>
      <c r="I20" s="8" t="str">
        <f>LEFT(I5, FIND("±", I5) - 1)</f>
        <v xml:space="preserve">57.55 </v>
      </c>
      <c r="L20" s="1" t="s">
        <v>95</v>
      </c>
      <c r="M20" s="8" t="str">
        <f>LEFT(M5, FIND("±", M5) - 1)</f>
        <v xml:space="preserve">66.10 </v>
      </c>
      <c r="N20" s="8" t="str">
        <f>LEFT(N5, FIND("±", N5) - 1)</f>
        <v xml:space="preserve">52.91 </v>
      </c>
      <c r="O20" s="8" t="str">
        <f>LEFT(O5, FIND("±", O5) - 1)</f>
        <v xml:space="preserve">52.48 </v>
      </c>
      <c r="P20" s="8" t="str">
        <f>LEFT(P5, FIND("±", P5) - 1)</f>
        <v xml:space="preserve">68.97 </v>
      </c>
      <c r="Q20" s="8" t="str">
        <f>LEFT(Q5, FIND("±", Q5) - 1)</f>
        <v xml:space="preserve">61.86 </v>
      </c>
      <c r="R20" s="8" t="str">
        <f>LEFT(R5, FIND("±", R5) - 1)</f>
        <v xml:space="preserve">60.46 </v>
      </c>
    </row>
    <row r="21" spans="2:19" x14ac:dyDescent="0.3">
      <c r="C21" s="1" t="s">
        <v>96</v>
      </c>
      <c r="D21" s="8" t="str">
        <f>LEFT(D6, FIND("±", D6) - 1)</f>
        <v xml:space="preserve">64.21 </v>
      </c>
      <c r="E21" s="8" t="str">
        <f>LEFT(E6, FIND("±", E6) - 1)</f>
        <v xml:space="preserve">26.64 </v>
      </c>
      <c r="F21" s="8" t="str">
        <f>LEFT(F6, FIND("±", F6) - 1)</f>
        <v xml:space="preserve">49.10 </v>
      </c>
      <c r="G21" s="8" t="str">
        <f>LEFT(G6, FIND("±", G6) - 1)</f>
        <v xml:space="preserve">31.63 </v>
      </c>
      <c r="H21" s="8" t="str">
        <f>LEFT(H6, FIND("±", H6) - 1)</f>
        <v xml:space="preserve">56.77 </v>
      </c>
      <c r="I21" s="8" t="str">
        <f>LEFT(I6, FIND("±", I6) - 1)</f>
        <v xml:space="preserve">45.67 </v>
      </c>
      <c r="L21" s="1" t="s">
        <v>96</v>
      </c>
      <c r="M21" s="8" t="str">
        <f>LEFT(M6, FIND("±", M6) - 1)</f>
        <v xml:space="preserve">60.31 </v>
      </c>
      <c r="N21" s="8" t="str">
        <f>LEFT(N6, FIND("±", N6) - 1)</f>
        <v xml:space="preserve">40.91 </v>
      </c>
      <c r="O21" s="8" t="str">
        <f>LEFT(O6, FIND("±", O6) - 1)</f>
        <v xml:space="preserve">48.37 </v>
      </c>
      <c r="P21" s="8" t="str">
        <f>LEFT(P6, FIND("±", P6) - 1)</f>
        <v xml:space="preserve">47.83 </v>
      </c>
      <c r="Q21" s="8" t="str">
        <f>LEFT(Q6, FIND("±", Q6) - 1)</f>
        <v xml:space="preserve">53.62 </v>
      </c>
      <c r="R21" s="8" t="str">
        <f>LEFT(R6, FIND("±", R6) - 1)</f>
        <v xml:space="preserve">50.21 </v>
      </c>
    </row>
    <row r="22" spans="2:19" x14ac:dyDescent="0.3">
      <c r="C22" s="1" t="s">
        <v>172</v>
      </c>
      <c r="D22" s="8" t="str">
        <f>LEFT(D14, FIND("±", D14) - 1)</f>
        <v xml:space="preserve">47.48 </v>
      </c>
      <c r="E22" s="8" t="str">
        <f>LEFT(E14, FIND("±", E14) - 1)</f>
        <v xml:space="preserve">22.20 </v>
      </c>
      <c r="F22" s="8" t="str">
        <f>LEFT(F14, FIND("±", F14) - 1)</f>
        <v xml:space="preserve">31.23 </v>
      </c>
      <c r="G22" s="8" t="str">
        <f>LEFT(G14, FIND("±", G14) - 1)</f>
        <v xml:space="preserve">30.20 </v>
      </c>
      <c r="H22" s="8" t="str">
        <f>LEFT(H14, FIND("±", H14) - 1)</f>
        <v xml:space="preserve">47.23 </v>
      </c>
      <c r="I22" s="8" t="str">
        <f>LEFT(I14, FIND("±", I14) - 1)</f>
        <v xml:space="preserve">35.67 </v>
      </c>
      <c r="L22" s="1" t="s">
        <v>172</v>
      </c>
      <c r="M22" s="8" t="str">
        <f>LEFT(M14, FIND("±", M14) - 1)</f>
        <v xml:space="preserve">42.73 </v>
      </c>
      <c r="N22" s="8" t="str">
        <f>LEFT(N14, FIND("±", N14) - 1)</f>
        <v xml:space="preserve">24.10 </v>
      </c>
      <c r="O22" s="8" t="str">
        <f>LEFT(O14, FIND("±", O14) - 1)</f>
        <v xml:space="preserve">24.83 </v>
      </c>
      <c r="P22" s="8" t="str">
        <f>LEFT(P14, FIND("±", P14) - 1)</f>
        <v xml:space="preserve">53.34 </v>
      </c>
      <c r="Q22" s="8" t="str">
        <f>LEFT(Q14, FIND("±", Q14) - 1)</f>
        <v xml:space="preserve">39.69 </v>
      </c>
      <c r="R22" s="8" t="str">
        <f>LEFT(R14, FIND("±", R14) - 1)</f>
        <v xml:space="preserve">36.94 </v>
      </c>
    </row>
    <row r="23" spans="2:19" x14ac:dyDescent="0.3">
      <c r="C23" s="1" t="s">
        <v>173</v>
      </c>
      <c r="D23" s="8" t="str">
        <f>LEFT(D13, FIND("±", D13) - 1)</f>
        <v xml:space="preserve">26.22 </v>
      </c>
      <c r="E23" s="8" t="str">
        <f>LEFT(E13, FIND("±", E13) - 1)</f>
        <v xml:space="preserve">7.75 </v>
      </c>
      <c r="F23" s="8" t="str">
        <f>LEFT(F13, FIND("±", F13) - 1)</f>
        <v xml:space="preserve">6.87 </v>
      </c>
      <c r="G23" s="8" t="str">
        <f>LEFT(G13, FIND("±", G13) - 1)</f>
        <v xml:space="preserve">27.26 </v>
      </c>
      <c r="H23" s="8" t="str">
        <f>LEFT(H13, FIND("±", H13) - 1)</f>
        <v xml:space="preserve">26.33 </v>
      </c>
      <c r="I23" s="8" t="str">
        <f>LEFT(I13, FIND("±", I13) - 1)</f>
        <v xml:space="preserve">18.89 </v>
      </c>
      <c r="L23" s="1" t="s">
        <v>173</v>
      </c>
      <c r="M23" s="8" t="str">
        <f>LEFT(M13, FIND("±", M13) - 1)</f>
        <v xml:space="preserve">26.59 </v>
      </c>
      <c r="N23" s="8" t="str">
        <f>LEFT(N13, FIND("±", N13) - 1)</f>
        <v xml:space="preserve">12.92 </v>
      </c>
      <c r="O23" s="8" t="str">
        <f>LEFT(O13, FIND("±", O13) - 1)</f>
        <v xml:space="preserve">4.48 </v>
      </c>
      <c r="P23" s="8" t="str">
        <f>LEFT(P13, FIND("±", P13) - 1)</f>
        <v xml:space="preserve">54.22 </v>
      </c>
      <c r="Q23" s="8" t="str">
        <f>LEFT(Q13, FIND("±", Q13) - 1)</f>
        <v xml:space="preserve">27.52 </v>
      </c>
      <c r="R23" s="8" t="str">
        <f>LEFT(R13, FIND("±", R13) - 1)</f>
        <v xml:space="preserve">25.15 </v>
      </c>
    </row>
    <row r="24" spans="2:19" x14ac:dyDescent="0.3">
      <c r="C24" s="1" t="s">
        <v>36</v>
      </c>
      <c r="D24" s="7" t="str">
        <f>LEFT(D11, FIND("±", D11) - 1)</f>
        <v xml:space="preserve">73.51 </v>
      </c>
      <c r="E24" s="7" t="str">
        <f>LEFT(E11, FIND("±", E11) - 1)</f>
        <v xml:space="preserve">55.54 </v>
      </c>
      <c r="F24" s="7" t="str">
        <f>LEFT(F11, FIND("±", F11) - 1)</f>
        <v xml:space="preserve">56.75 </v>
      </c>
      <c r="G24" s="7" t="str">
        <f>LEFT(G11, FIND("±", G11) - 1)</f>
        <v xml:space="preserve">47.67 </v>
      </c>
      <c r="H24" s="7" t="str">
        <f>LEFT(H11, FIND("±", H11) - 1)</f>
        <v xml:space="preserve">70.62 </v>
      </c>
      <c r="I24" s="7" t="str">
        <f>LEFT(I11, FIND("±", I11) - 1)</f>
        <v xml:space="preserve">60.82 </v>
      </c>
      <c r="L24" s="1" t="s">
        <v>36</v>
      </c>
      <c r="M24" s="7" t="str">
        <f>LEFT(M11, FIND("±", M11) - 1)</f>
        <v xml:space="preserve">70.63 </v>
      </c>
      <c r="N24" s="7" t="str">
        <f>LEFT(N11, FIND("±", N11) - 1)</f>
        <v xml:space="preserve">66.47 </v>
      </c>
      <c r="O24" s="7" t="str">
        <f>LEFT(O11, FIND("±", O11) - 1)</f>
        <v xml:space="preserve">57.68 </v>
      </c>
      <c r="P24" s="7" t="str">
        <f>LEFT(P11, FIND("±", P11) - 1)</f>
        <v xml:space="preserve">70.29 </v>
      </c>
      <c r="Q24" s="7" t="str">
        <f>LEFT(Q11, FIND("±", Q11) - 1)</f>
        <v xml:space="preserve">67.48 </v>
      </c>
      <c r="R24" s="7" t="str">
        <f>LEFT(R11, FIND("±", R11) - 1)</f>
        <v xml:space="preserve">66.51 </v>
      </c>
      <c r="S24" s="2"/>
    </row>
    <row r="25" spans="2:19" x14ac:dyDescent="0.3">
      <c r="C25" s="1" t="s">
        <v>50</v>
      </c>
      <c r="D25" s="8" t="str">
        <f>LEFT(D10, FIND("±", D10) - 1)</f>
        <v xml:space="preserve">53.10 </v>
      </c>
      <c r="E25" s="8" t="str">
        <f>LEFT(E10, FIND("±", E10) - 1)</f>
        <v xml:space="preserve">40.98 </v>
      </c>
      <c r="F25" s="8" t="str">
        <f>LEFT(F10, FIND("±", F10) - 1)</f>
        <v xml:space="preserve">42.64 </v>
      </c>
      <c r="G25" s="8" t="str">
        <f>LEFT(G10, FIND("±", G10) - 1)</f>
        <v xml:space="preserve">40.24 </v>
      </c>
      <c r="H25" s="8" t="str">
        <f>LEFT(H10, FIND("±", H10) - 1)</f>
        <v xml:space="preserve">57.04 </v>
      </c>
      <c r="I25" s="8" t="str">
        <f>LEFT(I10, FIND("±", I10) - 1)</f>
        <v xml:space="preserve">46.80 </v>
      </c>
      <c r="L25" s="1" t="s">
        <v>50</v>
      </c>
      <c r="M25" s="8" t="str">
        <f>LEFT(M10, FIND("±", M10) - 1)</f>
        <v xml:space="preserve">56.93 </v>
      </c>
      <c r="N25" s="8" t="str">
        <f>LEFT(N10, FIND("±", N10) - 1)</f>
        <v xml:space="preserve">63.46 </v>
      </c>
      <c r="O25" s="8" t="str">
        <f>LEFT(O10, FIND("±", O10) - 1)</f>
        <v xml:space="preserve">50.03 </v>
      </c>
      <c r="P25" s="8" t="str">
        <f>LEFT(P10, FIND("±", P10) - 1)</f>
        <v xml:space="preserve">65.43 </v>
      </c>
      <c r="Q25" s="8" t="str">
        <f>LEFT(Q10, FIND("±", Q10) - 1)</f>
        <v xml:space="preserve">59.97 </v>
      </c>
      <c r="R25" s="8" t="str">
        <f>LEFT(R10, FIND("±", R10) - 1)</f>
        <v xml:space="preserve">59.16 </v>
      </c>
    </row>
    <row r="26" spans="2:19" ht="21" x14ac:dyDescent="0.4">
      <c r="C26" s="9" t="s">
        <v>174</v>
      </c>
      <c r="D26" s="9"/>
      <c r="E26" s="9"/>
      <c r="F26" s="9"/>
      <c r="G26" s="9"/>
      <c r="H26" s="9"/>
      <c r="I26" s="9"/>
      <c r="L26" s="9" t="s">
        <v>175</v>
      </c>
      <c r="M26" s="9"/>
      <c r="N26" s="9"/>
      <c r="O26" s="9"/>
      <c r="P26" s="9"/>
      <c r="Q26" s="9"/>
      <c r="R26" s="9"/>
    </row>
    <row r="28" spans="2:19" x14ac:dyDescent="0.3">
      <c r="M28" s="3"/>
      <c r="N28" s="3"/>
      <c r="O28" s="3"/>
      <c r="P28" s="3"/>
      <c r="Q28" s="3"/>
      <c r="R28" s="3"/>
    </row>
    <row r="29" spans="2:19" x14ac:dyDescent="0.3">
      <c r="M29" s="3"/>
      <c r="N29" s="3"/>
      <c r="O29" s="3"/>
      <c r="P29" s="3"/>
      <c r="Q29" s="3"/>
      <c r="R29" s="3"/>
    </row>
    <row r="30" spans="2:19" x14ac:dyDescent="0.3">
      <c r="M30" s="3"/>
      <c r="N30" s="3"/>
      <c r="O30" s="3"/>
      <c r="P30" s="3"/>
      <c r="Q30" s="3"/>
      <c r="R30" s="3"/>
    </row>
    <row r="31" spans="2:19" x14ac:dyDescent="0.3">
      <c r="M31" s="3"/>
      <c r="N31" s="3"/>
      <c r="O31" s="3"/>
      <c r="P31" s="3"/>
      <c r="Q31" s="3"/>
      <c r="R31" s="3"/>
    </row>
  </sheetData>
  <mergeCells count="4">
    <mergeCell ref="K18:K19"/>
    <mergeCell ref="B18:B19"/>
    <mergeCell ref="C26:I26"/>
    <mergeCell ref="L26:R26"/>
  </mergeCells>
  <pageMargins left="0.7" right="0.7" top="0.75" bottom="0.75" header="0.3" footer="0.3"/>
  <ignoredErrors>
    <ignoredError sqref="M19:R19 D19:F19 G19:I1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Santos Silva</dc:creator>
  <cp:lastModifiedBy>Emanuel Silva</cp:lastModifiedBy>
  <dcterms:created xsi:type="dcterms:W3CDTF">2015-06-05T18:17:20Z</dcterms:created>
  <dcterms:modified xsi:type="dcterms:W3CDTF">2025-12-12T15:16:18Z</dcterms:modified>
</cp:coreProperties>
</file>